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8월 사용내역" state="visible" r:id="rId4"/>
    <sheet sheetId="2" name="사용자별 합계" state="visible" r:id="rId5"/>
    <sheet sheetId="3" name="거래처별 합계" state="visible" r:id="rId6"/>
    <sheet sheetId="4" name="날짜별 합계" state="visible" r:id="rId7"/>
  </sheets>
  <definedNames>
    <definedName name="_xlnm.Print_Titles" localSheetId="0">'08월 사용내역'!$1:$4</definedName>
    <definedName name="_xlnm.Print_Titles" localSheetId="1">'사용자별 합계'!$1:$4</definedName>
    <definedName name="_xlnm.Print_Titles" localSheetId="2">'거래처별 합계'!$1:$4</definedName>
    <definedName name="_xlnm.Print_Titles" localSheetId="3">'날짜별 합계'!$1:$4</definedName>
  </definedNames>
  <calcPr calcId="171027" fullCalcOnLoad="1"/>
</workbook>
</file>

<file path=xl/sharedStrings.xml><?xml version="1.0" encoding="utf-8"?>
<sst xmlns="http://schemas.openxmlformats.org/spreadsheetml/2006/main" count="144" uniqueCount="67">
  <si>
    <t>2026년 08월 법인카드 영수증</t>
  </si>
  <si>
    <t>영수증 19건 | 사용자 10명 | 카드 결제액 260,240원 | 이름은 파일명 기준, 날짜·금액은 원본 확인</t>
  </si>
  <si>
    <t>날짜</t>
  </si>
  <si>
    <t>금액(카드 결제액)</t>
  </si>
  <si>
    <t>이름(파일명)</t>
  </si>
  <si>
    <t>거래처</t>
  </si>
  <si>
    <t>사용 구분(파일명)</t>
  </si>
  <si>
    <t>원본 파일명</t>
  </si>
  <si>
    <t>비고</t>
  </si>
  <si>
    <t>박종민</t>
  </si>
  <si>
    <t>프레디버거 교대역점</t>
  </si>
  <si>
    <t>야간 식대</t>
  </si>
  <si>
    <t>2026_0801(토)_야간 식대_박종민.jpeg</t>
  </si>
  <si>
    <t/>
  </si>
  <si>
    <t>김세훈</t>
  </si>
  <si>
    <t>포호아 예술의전당점</t>
  </si>
  <si>
    <t>점심 식대</t>
  </si>
  <si>
    <t>2026_0801(토)_점심 식대_김세훈.jpg</t>
  </si>
  <si>
    <t>영수증 총액 16,000원 = 카드 15,000원 + 현금 1,000원. 금액은 카드 결제액.</t>
  </si>
  <si>
    <t>김태신</t>
  </si>
  <si>
    <t>이마트24 서초점</t>
  </si>
  <si>
    <t>2026_0802(일)_야간 식대_김태신.pdf</t>
  </si>
  <si>
    <t>할인 적용 후 카드 결제액 8,800원.</t>
  </si>
  <si>
    <t>강은지</t>
  </si>
  <si>
    <t>고봉김밥 예술의전당점</t>
  </si>
  <si>
    <t>2026_0802(일)_점심 식대_강은지.jpg</t>
  </si>
  <si>
    <t>세븐일레븐 서초예당점</t>
  </si>
  <si>
    <t>2026_0808(토)_야간 식대_김태신.pdf</t>
  </si>
  <si>
    <t>박성흠</t>
  </si>
  <si>
    <t>KFC 서초동점</t>
  </si>
  <si>
    <t>2026_0808(토)_점심 식대_박성흠.png</t>
  </si>
  <si>
    <t>영수증 표기 “서초동”; 사업자번호·전화번호가 다른 KFC 영수증과 일치하며 회사 거래처 표기로 정리.</t>
  </si>
  <si>
    <t>조대중</t>
  </si>
  <si>
    <t>2026_0809(일)_야간 식대_조대중.jpg</t>
  </si>
  <si>
    <t>영수증 표기: KFC서초동에프.</t>
  </si>
  <si>
    <t>유환익</t>
  </si>
  <si>
    <t>평안도식당 교대점</t>
  </si>
  <si>
    <t>주간 식대</t>
  </si>
  <si>
    <t>2026_0809(일)_주간 식대_유환익.png</t>
  </si>
  <si>
    <t>2026_0815(토)_야간 식대_조대중.jpg</t>
  </si>
  <si>
    <t>이예진</t>
  </si>
  <si>
    <t>2026_0815(토)_점심 식대_이예진.jpeg</t>
  </si>
  <si>
    <t>2026_0817(월)_야간 식대_조대중.jpg</t>
  </si>
  <si>
    <t>이마트24 예술의전당점</t>
  </si>
  <si>
    <t>2026_0817(월)_주간 식대_유환익.png</t>
  </si>
  <si>
    <t>순옥정</t>
  </si>
  <si>
    <t>2026_0822(토)_야간 식대_강은지.jpeg</t>
  </si>
  <si>
    <t>회사 거래처 표기는 순옥에프앤비. 영수증의 상점명 사용.</t>
  </si>
  <si>
    <t>이현정</t>
  </si>
  <si>
    <t>허수아비돈까스</t>
  </si>
  <si>
    <t>주말 식대</t>
  </si>
  <si>
    <t>2026_0822(토)_주말 식대_이현정.jpeg</t>
  </si>
  <si>
    <t>영수증에 지점명이 “(서”까지 표시되어 지점명 생략.</t>
  </si>
  <si>
    <t>2026_0823(일)_야간 식대_유환익.png</t>
  </si>
  <si>
    <t>제육대가(서초점)</t>
  </si>
  <si>
    <t>2026_0823(일)_주간 식대_김세훈.jpeg</t>
  </si>
  <si>
    <t>2026_0829(토)_야간 식대_유환익.png</t>
  </si>
  <si>
    <t>2026_0829(토)_주말 식대_조대중.jpg</t>
  </si>
  <si>
    <t>김승희</t>
  </si>
  <si>
    <t>2026_0830(일)_주말 식대_김승희.jpeg</t>
  </si>
  <si>
    <t>합계</t>
  </si>
  <si>
    <t>2026년 08월 사용자별 합계</t>
  </si>
  <si>
    <t>08월 사용내역 시트를 기준으로 집계한 카드 결제액입니다.</t>
  </si>
  <si>
    <t>건수</t>
  </si>
  <si>
    <t>카드 결제액</t>
  </si>
  <si>
    <t>2026년 08월 거래처별 합계</t>
  </si>
  <si>
    <t>2026년 08월 날짜별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</si>
</sst>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&quot;원&quot;"/>
  </numFmts>
  <fonts count="7" x14ac:knownFonts="1">
    <font>
      <color theme="1"/>
      <family val="2"/>
      <scheme val="minor"/>
      <sz val="11"/>
      <name val="Calibri"/>
    </font>
    <font>
      <b/>
      <color rgb="234F40"/>
      <sz val="19"/>
      <name val="맑은 고딕"/>
    </font>
    <font>
      <color rgb="56665C"/>
      <sz val="10"/>
      <name val="맑은 고딕"/>
    </font>
    <font>
      <b/>
      <color rgb="FFFFFF"/>
      <name val="맑은 고딕"/>
    </font>
    <font>
      <sz val="10"/>
      <name val="맑은 고딕"/>
    </font>
    <font>
      <u/>
      <color rgb="2463A0"/>
      <sz val="10"/>
      <name val="맑은 고딕"/>
    </font>
    <font>
      <b/>
      <color rgb="234F4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234F40"/>
      </patternFill>
    </fill>
    <fill>
      <patternFill patternType="solid">
        <fgColor rgb="F2F6F1"/>
      </patternFill>
    </fill>
    <fill>
      <patternFill patternType="solid">
        <fgColor rgb="EAF1EB"/>
      </patternFill>
    </fill>
  </fills>
  <borders count="2">
    <border>
      <left/>
      <right/>
      <top/>
      <bottom/>
      <diagonal/>
    </border>
    <border>
      <left/>
      <right/>
      <top/>
      <bottom style="hair">
        <color rgb="DCE4DC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5" fontId="2" fillId="0" borderId="0" xfId="0" applyNumberFormat="1" applyFont="1" applyAlignment="1">
      <alignment vertical="center" wrapText="1"/>
    </xf>
    <xf numFmtId="164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164" fontId="4" fillId="3" borderId="1" xfId="0" applyNumberFormat="1" applyFont="1" applyFill="1" applyBorder="1" applyAlignment="1">
      <alignment vertical="center" wrapText="1"/>
    </xf>
    <xf numFmtId="165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6" fillId="4" borderId="0" xfId="0" applyNumberFormat="1" applyFont="1" applyFill="1"/>
    <xf numFmtId="165" fontId="6" fillId="4" borderId="0" xfId="0" applyNumberFormat="1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G:\&#44277;&#50976; &#46300;&#46972;&#51060;&#48652;\[EG] CS&#54016;\CS&#54016;\99. CS&#54016; &#48277;&#51064;&#52852;&#46300; &#50689;&#49688;&#51613;\2026_08\2026_0801(&#53664;)_&#50556;&#44036; &#49885;&#45824;_&#48149;&#51333;&#48124;.jpeg" TargetMode="External"/><Relationship Id="rId2" Type="http://schemas.openxmlformats.org/officeDocument/2006/relationships/hyperlink" Target="G:\&#44277;&#50976; &#46300;&#46972;&#51060;&#48652;\[EG] CS&#54016;\CS&#54016;\99. CS&#54016; &#48277;&#51064;&#52852;&#46300; &#50689;&#49688;&#51613;\2026_08\2026_0801(&#53664;)_&#51216;&#49900; &#49885;&#45824;_&#44608;&#49464;&#54984;.jpg" TargetMode="External"/><Relationship Id="rId3" Type="http://schemas.openxmlformats.org/officeDocument/2006/relationships/hyperlink" Target="G:\&#44277;&#50976; &#46300;&#46972;&#51060;&#48652;\[EG] CS&#54016;\CS&#54016;\99. CS&#54016; &#48277;&#51064;&#52852;&#46300; &#50689;&#49688;&#51613;\2026_08\2026_0802(&#51068;)_&#50556;&#44036; &#49885;&#45824;_&#44608;&#53468;&#49888;.pdf" TargetMode="External"/><Relationship Id="rId4" Type="http://schemas.openxmlformats.org/officeDocument/2006/relationships/hyperlink" Target="G:\&#44277;&#50976; &#46300;&#46972;&#51060;&#48652;\[EG] CS&#54016;\CS&#54016;\99. CS&#54016; &#48277;&#51064;&#52852;&#46300; &#50689;&#49688;&#51613;\2026_08\2026_0802(&#51068;)_&#51216;&#49900; &#49885;&#45824;_&#44053;&#51008;&#51648;.jpg" TargetMode="External"/><Relationship Id="rId5" Type="http://schemas.openxmlformats.org/officeDocument/2006/relationships/hyperlink" Target="G:\&#44277;&#50976; &#46300;&#46972;&#51060;&#48652;\[EG] CS&#54016;\CS&#54016;\99. CS&#54016; &#48277;&#51064;&#52852;&#46300; &#50689;&#49688;&#51613;\2026_08\2026_0808(&#53664;)_&#50556;&#44036; &#49885;&#45824;_&#44608;&#53468;&#49888;.pdf" TargetMode="External"/><Relationship Id="rId6" Type="http://schemas.openxmlformats.org/officeDocument/2006/relationships/hyperlink" Target="G:\&#44277;&#50976; &#46300;&#46972;&#51060;&#48652;\[EG] CS&#54016;\CS&#54016;\99. CS&#54016; &#48277;&#51064;&#52852;&#46300; &#50689;&#49688;&#51613;\2026_08\2026_0808(&#53664;)_&#51216;&#49900; &#49885;&#45824;_&#48149;&#49457;&#55136;.png" TargetMode="External"/><Relationship Id="rId7" Type="http://schemas.openxmlformats.org/officeDocument/2006/relationships/hyperlink" Target="G:\&#44277;&#50976; &#46300;&#46972;&#51060;&#48652;\[EG] CS&#54016;\CS&#54016;\99. CS&#54016; &#48277;&#51064;&#52852;&#46300; &#50689;&#49688;&#51613;\2026_08\2026_0809(&#51068;)_&#50556;&#44036; &#49885;&#45824;_&#51312;&#45824;&#51473;.jpg" TargetMode="External"/><Relationship Id="rId8" Type="http://schemas.openxmlformats.org/officeDocument/2006/relationships/hyperlink" Target="G:\&#44277;&#50976; &#46300;&#46972;&#51060;&#48652;\[EG] CS&#54016;\CS&#54016;\99. CS&#54016; &#48277;&#51064;&#52852;&#46300; &#50689;&#49688;&#51613;\2026_08\2026_0809(&#51068;)_&#51452;&#44036; &#49885;&#45824;_&#50976;&#54872;&#51061;.png" TargetMode="External"/><Relationship Id="rId9" Type="http://schemas.openxmlformats.org/officeDocument/2006/relationships/hyperlink" Target="G:\&#44277;&#50976; &#46300;&#46972;&#51060;&#48652;\[EG] CS&#54016;\CS&#54016;\99. CS&#54016; &#48277;&#51064;&#52852;&#46300; &#50689;&#49688;&#51613;\2026_08\2026_0815(&#53664;)_&#50556;&#44036; &#49885;&#45824;_&#51312;&#45824;&#51473;.jpg" TargetMode="External"/><Relationship Id="rId10" Type="http://schemas.openxmlformats.org/officeDocument/2006/relationships/hyperlink" Target="G:\&#44277;&#50976; &#46300;&#46972;&#51060;&#48652;\[EG] CS&#54016;\CS&#54016;\99. CS&#54016; &#48277;&#51064;&#52852;&#46300; &#50689;&#49688;&#51613;\2026_08\2026_0815(&#53664;)_&#51216;&#49900; &#49885;&#45824;_&#51060;&#50696;&#51652;.jpeg" TargetMode="External"/><Relationship Id="rId11" Type="http://schemas.openxmlformats.org/officeDocument/2006/relationships/hyperlink" Target="G:\&#44277;&#50976; &#46300;&#46972;&#51060;&#48652;\[EG] CS&#54016;\CS&#54016;\99. CS&#54016; &#48277;&#51064;&#52852;&#46300; &#50689;&#49688;&#51613;\2026_08\2026_0817(&#50900;)_&#50556;&#44036; &#49885;&#45824;_&#51312;&#45824;&#51473;.jpg" TargetMode="External"/><Relationship Id="rId12" Type="http://schemas.openxmlformats.org/officeDocument/2006/relationships/hyperlink" Target="G:\&#44277;&#50976; &#46300;&#46972;&#51060;&#48652;\[EG] CS&#54016;\CS&#54016;\99. CS&#54016; &#48277;&#51064;&#52852;&#46300; &#50689;&#49688;&#51613;\2026_08\2026_0817(&#50900;)_&#51452;&#44036; &#49885;&#45824;_&#50976;&#54872;&#51061;.png" TargetMode="External"/><Relationship Id="rId13" Type="http://schemas.openxmlformats.org/officeDocument/2006/relationships/hyperlink" Target="G:\&#44277;&#50976; &#46300;&#46972;&#51060;&#48652;\[EG] CS&#54016;\CS&#54016;\99. CS&#54016; &#48277;&#51064;&#52852;&#46300; &#50689;&#49688;&#51613;\2026_08\2026_0822(&#53664;)_&#50556;&#44036; &#49885;&#45824;_&#44053;&#51008;&#51648;.jpeg" TargetMode="External"/><Relationship Id="rId14" Type="http://schemas.openxmlformats.org/officeDocument/2006/relationships/hyperlink" Target="G:\&#44277;&#50976; &#46300;&#46972;&#51060;&#48652;\[EG] CS&#54016;\CS&#54016;\99. CS&#54016; &#48277;&#51064;&#52852;&#46300; &#50689;&#49688;&#51613;\2026_08\2026_0822(&#53664;)_&#51452;&#47568; &#49885;&#45824;_&#51060;&#54788;&#51221;.jpeg" TargetMode="External"/><Relationship Id="rId15" Type="http://schemas.openxmlformats.org/officeDocument/2006/relationships/hyperlink" Target="G:\&#44277;&#50976; &#46300;&#46972;&#51060;&#48652;\[EG] CS&#54016;\CS&#54016;\99. CS&#54016; &#48277;&#51064;&#52852;&#46300; &#50689;&#49688;&#51613;\2026_08\2026_0823(&#51068;)_&#50556;&#44036; &#49885;&#45824;_&#50976;&#54872;&#51061;.png" TargetMode="External"/><Relationship Id="rId16" Type="http://schemas.openxmlformats.org/officeDocument/2006/relationships/hyperlink" Target="G:\&#44277;&#50976; &#46300;&#46972;&#51060;&#48652;\[EG] CS&#54016;\CS&#54016;\99. CS&#54016; &#48277;&#51064;&#52852;&#46300; &#50689;&#49688;&#51613;\2026_08\2026_0823(&#51068;)_&#51452;&#44036; &#49885;&#45824;_&#44608;&#49464;&#54984;.jpeg" TargetMode="External"/><Relationship Id="rId17" Type="http://schemas.openxmlformats.org/officeDocument/2006/relationships/hyperlink" Target="G:\&#44277;&#50976; &#46300;&#46972;&#51060;&#48652;\[EG] CS&#54016;\CS&#54016;\99. CS&#54016; &#48277;&#51064;&#52852;&#46300; &#50689;&#49688;&#51613;\2026_08\2026_0829(&#53664;)_&#50556;&#44036; &#49885;&#45824;_&#50976;&#54872;&#51061;.png" TargetMode="External"/><Relationship Id="rId18" Type="http://schemas.openxmlformats.org/officeDocument/2006/relationships/hyperlink" Target="G:\&#44277;&#50976; &#46300;&#46972;&#51060;&#48652;\[EG] CS&#54016;\CS&#54016;\99. CS&#54016; &#48277;&#51064;&#52852;&#46300; &#50689;&#49688;&#51613;\2026_08\2026_0829(&#53664;)_&#51452;&#47568; &#49885;&#45824;_&#51312;&#45824;&#51473;.jpg" TargetMode="External"/><Relationship Id="rId19" Type="http://schemas.openxmlformats.org/officeDocument/2006/relationships/hyperlink" Target="G:\&#44277;&#50976; &#46300;&#46972;&#51060;&#48652;\[EG] CS&#54016;\CS&#54016;\99. CS&#54016; &#48277;&#51064;&#52852;&#46300; &#50689;&#49688;&#51613;\2026_08\2026_0830(&#51068;)_&#51452;&#47568; &#49885;&#45824;_&#44608;&#49849;&#55148;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2" width="17" style="2" customWidth="1"/>
    <col min="3" max="3" width="13" customWidth="1"/>
    <col min="4" max="4" width="29" customWidth="1"/>
    <col min="5" max="5" width="15" customWidth="1"/>
    <col min="6" max="6" width="59" customWidth="1"/>
    <col min="7" max="7" width="72" customWidth="1"/>
  </cols>
  <sheetData>
    <row r="1" ht="32" customHeight="1" spans="1:7" x14ac:dyDescent="0.25">
      <c r="A1" s="3" t="s">
        <v>0</v>
      </c>
      <c r="B1" s="3"/>
      <c r="C1" s="3"/>
      <c r="D1" s="3"/>
      <c r="E1" s="3"/>
      <c r="F1" s="3"/>
      <c r="G1" s="3"/>
    </row>
    <row r="2" ht="32" customHeight="1" spans="1:7" x14ac:dyDescent="0.25">
      <c r="A2" s="4" t="s">
        <v>1</v>
      </c>
      <c r="B2" s="4"/>
      <c r="C2" s="4"/>
      <c r="D2" s="4"/>
      <c r="E2" s="4"/>
      <c r="F2" s="4"/>
      <c r="G2" s="4"/>
    </row>
    <row r="4" ht="25" customHeight="1" spans="1:7" x14ac:dyDescent="0.25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</row>
    <row r="5" ht="36" customHeight="1" spans="1:7" x14ac:dyDescent="0.25">
      <c r="A5" s="8">
        <v>46235</v>
      </c>
      <c r="B5" s="9">
        <v>15000</v>
      </c>
      <c r="C5" s="10" t="s">
        <v>9</v>
      </c>
      <c r="D5" s="10" t="s">
        <v>10</v>
      </c>
      <c r="E5" s="10" t="s">
        <v>11</v>
      </c>
      <c r="F5" s="11" t="s">
        <v>12</v>
      </c>
      <c r="G5" s="10" t="s">
        <v>13</v>
      </c>
    </row>
    <row r="6" ht="46" customHeight="1" spans="1:7" x14ac:dyDescent="0.25">
      <c r="A6" s="12">
        <v>46235</v>
      </c>
      <c r="B6" s="13">
        <v>15000</v>
      </c>
      <c r="C6" s="14" t="s">
        <v>14</v>
      </c>
      <c r="D6" s="14" t="s">
        <v>15</v>
      </c>
      <c r="E6" s="14" t="s">
        <v>16</v>
      </c>
      <c r="F6" s="15" t="s">
        <v>17</v>
      </c>
      <c r="G6" s="14" t="s">
        <v>18</v>
      </c>
    </row>
    <row r="7" ht="36" customHeight="1" spans="1:7" x14ac:dyDescent="0.25">
      <c r="A7" s="8">
        <v>46236</v>
      </c>
      <c r="B7" s="9">
        <v>8800</v>
      </c>
      <c r="C7" s="10" t="s">
        <v>19</v>
      </c>
      <c r="D7" s="10" t="s">
        <v>20</v>
      </c>
      <c r="E7" s="10" t="s">
        <v>11</v>
      </c>
      <c r="F7" s="11" t="s">
        <v>21</v>
      </c>
      <c r="G7" s="10" t="s">
        <v>22</v>
      </c>
    </row>
    <row r="8" ht="36" customHeight="1" spans="1:7" x14ac:dyDescent="0.25">
      <c r="A8" s="12">
        <v>46236</v>
      </c>
      <c r="B8" s="13">
        <v>10500</v>
      </c>
      <c r="C8" s="14" t="s">
        <v>23</v>
      </c>
      <c r="D8" s="14" t="s">
        <v>24</v>
      </c>
      <c r="E8" s="14" t="s">
        <v>16</v>
      </c>
      <c r="F8" s="15" t="s">
        <v>25</v>
      </c>
      <c r="G8" s="14" t="s">
        <v>13</v>
      </c>
    </row>
    <row r="9" ht="36" customHeight="1" spans="1:7" x14ac:dyDescent="0.25">
      <c r="A9" s="8">
        <v>46242</v>
      </c>
      <c r="B9" s="9">
        <v>10500</v>
      </c>
      <c r="C9" s="10" t="s">
        <v>19</v>
      </c>
      <c r="D9" s="10" t="s">
        <v>26</v>
      </c>
      <c r="E9" s="10" t="s">
        <v>11</v>
      </c>
      <c r="F9" s="11" t="s">
        <v>27</v>
      </c>
      <c r="G9" s="10" t="s">
        <v>13</v>
      </c>
    </row>
    <row r="10" ht="46" customHeight="1" spans="1:7" x14ac:dyDescent="0.25">
      <c r="A10" s="12">
        <v>46242</v>
      </c>
      <c r="B10" s="13">
        <v>15000</v>
      </c>
      <c r="C10" s="14" t="s">
        <v>28</v>
      </c>
      <c r="D10" s="14" t="s">
        <v>29</v>
      </c>
      <c r="E10" s="14" t="s">
        <v>16</v>
      </c>
      <c r="F10" s="15" t="s">
        <v>30</v>
      </c>
      <c r="G10" s="14" t="s">
        <v>31</v>
      </c>
    </row>
    <row r="11" ht="36" customHeight="1" spans="1:7" x14ac:dyDescent="0.25">
      <c r="A11" s="8">
        <v>46243</v>
      </c>
      <c r="B11" s="9">
        <v>14600</v>
      </c>
      <c r="C11" s="10" t="s">
        <v>32</v>
      </c>
      <c r="D11" s="10" t="s">
        <v>29</v>
      </c>
      <c r="E11" s="10" t="s">
        <v>11</v>
      </c>
      <c r="F11" s="11" t="s">
        <v>33</v>
      </c>
      <c r="G11" s="10" t="s">
        <v>34</v>
      </c>
    </row>
    <row r="12" ht="36" customHeight="1" spans="1:7" x14ac:dyDescent="0.25">
      <c r="A12" s="12">
        <v>46243</v>
      </c>
      <c r="B12" s="13">
        <v>14000</v>
      </c>
      <c r="C12" s="14" t="s">
        <v>35</v>
      </c>
      <c r="D12" s="14" t="s">
        <v>36</v>
      </c>
      <c r="E12" s="14" t="s">
        <v>37</v>
      </c>
      <c r="F12" s="15" t="s">
        <v>38</v>
      </c>
      <c r="G12" s="14" t="s">
        <v>13</v>
      </c>
    </row>
    <row r="13" ht="36" customHeight="1" spans="1:7" x14ac:dyDescent="0.25">
      <c r="A13" s="8">
        <v>46249</v>
      </c>
      <c r="B13" s="9">
        <v>14900</v>
      </c>
      <c r="C13" s="10" t="s">
        <v>32</v>
      </c>
      <c r="D13" s="10" t="s">
        <v>29</v>
      </c>
      <c r="E13" s="10" t="s">
        <v>11</v>
      </c>
      <c r="F13" s="11" t="s">
        <v>39</v>
      </c>
      <c r="G13" s="10" t="s">
        <v>34</v>
      </c>
    </row>
    <row r="14" ht="36" customHeight="1" spans="1:7" x14ac:dyDescent="0.25">
      <c r="A14" s="12">
        <v>46249</v>
      </c>
      <c r="B14" s="13">
        <v>14500</v>
      </c>
      <c r="C14" s="14" t="s">
        <v>40</v>
      </c>
      <c r="D14" s="14" t="s">
        <v>24</v>
      </c>
      <c r="E14" s="14" t="s">
        <v>16</v>
      </c>
      <c r="F14" s="15" t="s">
        <v>41</v>
      </c>
      <c r="G14" s="14" t="s">
        <v>13</v>
      </c>
    </row>
    <row r="15" ht="36" customHeight="1" spans="1:7" x14ac:dyDescent="0.25">
      <c r="A15" s="8">
        <v>46251</v>
      </c>
      <c r="B15" s="9">
        <v>14900</v>
      </c>
      <c r="C15" s="10" t="s">
        <v>32</v>
      </c>
      <c r="D15" s="10" t="s">
        <v>29</v>
      </c>
      <c r="E15" s="10" t="s">
        <v>11</v>
      </c>
      <c r="F15" s="11" t="s">
        <v>42</v>
      </c>
      <c r="G15" s="10" t="s">
        <v>34</v>
      </c>
    </row>
    <row r="16" ht="36" customHeight="1" spans="1:7" x14ac:dyDescent="0.25">
      <c r="A16" s="12">
        <v>46251</v>
      </c>
      <c r="B16" s="13">
        <v>12340</v>
      </c>
      <c r="C16" s="14" t="s">
        <v>35</v>
      </c>
      <c r="D16" s="14" t="s">
        <v>43</v>
      </c>
      <c r="E16" s="14" t="s">
        <v>37</v>
      </c>
      <c r="F16" s="15" t="s">
        <v>44</v>
      </c>
      <c r="G16" s="14" t="s">
        <v>13</v>
      </c>
    </row>
    <row r="17" ht="36" customHeight="1" spans="1:7" x14ac:dyDescent="0.25">
      <c r="A17" s="8">
        <v>46256</v>
      </c>
      <c r="B17" s="9">
        <v>14200</v>
      </c>
      <c r="C17" s="10" t="s">
        <v>23</v>
      </c>
      <c r="D17" s="10" t="s">
        <v>45</v>
      </c>
      <c r="E17" s="10" t="s">
        <v>11</v>
      </c>
      <c r="F17" s="11" t="s">
        <v>46</v>
      </c>
      <c r="G17" s="10" t="s">
        <v>47</v>
      </c>
    </row>
    <row r="18" ht="36" customHeight="1" spans="1:7" x14ac:dyDescent="0.25">
      <c r="A18" s="12">
        <v>46256</v>
      </c>
      <c r="B18" s="13">
        <v>14000</v>
      </c>
      <c r="C18" s="14" t="s">
        <v>48</v>
      </c>
      <c r="D18" s="14" t="s">
        <v>49</v>
      </c>
      <c r="E18" s="14" t="s">
        <v>50</v>
      </c>
      <c r="F18" s="15" t="s">
        <v>51</v>
      </c>
      <c r="G18" s="14" t="s">
        <v>52</v>
      </c>
    </row>
    <row r="19" ht="36" customHeight="1" spans="1:7" x14ac:dyDescent="0.25">
      <c r="A19" s="8">
        <v>46257</v>
      </c>
      <c r="B19" s="9">
        <v>14800</v>
      </c>
      <c r="C19" s="10" t="s">
        <v>35</v>
      </c>
      <c r="D19" s="10" t="s">
        <v>26</v>
      </c>
      <c r="E19" s="10" t="s">
        <v>11</v>
      </c>
      <c r="F19" s="11" t="s">
        <v>53</v>
      </c>
      <c r="G19" s="10" t="s">
        <v>13</v>
      </c>
    </row>
    <row r="20" ht="36" customHeight="1" spans="1:7" x14ac:dyDescent="0.25">
      <c r="A20" s="12">
        <v>46257</v>
      </c>
      <c r="B20" s="13">
        <v>14500</v>
      </c>
      <c r="C20" s="14" t="s">
        <v>14</v>
      </c>
      <c r="D20" s="14" t="s">
        <v>54</v>
      </c>
      <c r="E20" s="14" t="s">
        <v>37</v>
      </c>
      <c r="F20" s="15" t="s">
        <v>55</v>
      </c>
      <c r="G20" s="14" t="s">
        <v>13</v>
      </c>
    </row>
    <row r="21" ht="36" customHeight="1" spans="1:7" x14ac:dyDescent="0.25">
      <c r="A21" s="8">
        <v>46263</v>
      </c>
      <c r="B21" s="9">
        <v>14500</v>
      </c>
      <c r="C21" s="10" t="s">
        <v>35</v>
      </c>
      <c r="D21" s="10" t="s">
        <v>54</v>
      </c>
      <c r="E21" s="10" t="s">
        <v>11</v>
      </c>
      <c r="F21" s="11" t="s">
        <v>56</v>
      </c>
      <c r="G21" s="10" t="s">
        <v>13</v>
      </c>
    </row>
    <row r="22" ht="36" customHeight="1" spans="1:7" x14ac:dyDescent="0.25">
      <c r="A22" s="12">
        <v>46263</v>
      </c>
      <c r="B22" s="13">
        <v>14700</v>
      </c>
      <c r="C22" s="14" t="s">
        <v>32</v>
      </c>
      <c r="D22" s="14" t="s">
        <v>29</v>
      </c>
      <c r="E22" s="14" t="s">
        <v>50</v>
      </c>
      <c r="F22" s="15" t="s">
        <v>57</v>
      </c>
      <c r="G22" s="14" t="s">
        <v>34</v>
      </c>
    </row>
    <row r="23" ht="36" customHeight="1" spans="1:7" x14ac:dyDescent="0.25">
      <c r="A23" s="8">
        <v>46264</v>
      </c>
      <c r="B23" s="9">
        <v>13500</v>
      </c>
      <c r="C23" s="10" t="s">
        <v>58</v>
      </c>
      <c r="D23" s="10" t="s">
        <v>15</v>
      </c>
      <c r="E23" s="10" t="s">
        <v>50</v>
      </c>
      <c r="F23" s="11" t="s">
        <v>59</v>
      </c>
      <c r="G23" s="10" t="s">
        <v>13</v>
      </c>
    </row>
    <row r="24" ht="26" customHeight="1" spans="1:2" x14ac:dyDescent="0.25">
      <c r="A24" s="16" t="s">
        <v>60</v>
      </c>
      <c r="B24" s="17">
        <f>SUM(B5:B23)</f>
        <v>260240</v>
      </c>
    </row>
  </sheetData>
  <autoFilter ref="A4:G23"/>
  <mergeCells count="2">
    <mergeCell ref="A1:G1"/>
    <mergeCell ref="A2:G2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</hyperlink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&amp;L2026년 08월 법인카드 영수증&amp;R&amp;P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22" style="2" customWidth="1"/>
  </cols>
  <sheetData>
    <row r="1" ht="32" customHeight="1" spans="1:3" x14ac:dyDescent="0.25">
      <c r="A1" s="3" t="s">
        <v>61</v>
      </c>
      <c r="B1" s="3"/>
      <c r="C1" s="3"/>
    </row>
    <row r="2" ht="32" customHeight="1" spans="1:3" x14ac:dyDescent="0.25">
      <c r="A2" s="4" t="s">
        <v>62</v>
      </c>
      <c r="B2" s="4"/>
      <c r="C2" s="4"/>
    </row>
    <row r="4" ht="25" customHeight="1" spans="1:3" x14ac:dyDescent="0.25">
      <c r="A4" s="7" t="s">
        <v>4</v>
      </c>
      <c r="B4" s="7" t="s">
        <v>63</v>
      </c>
      <c r="C4" s="6" t="s">
        <v>64</v>
      </c>
    </row>
    <row r="5" ht="36" customHeight="1" spans="1:3" x14ac:dyDescent="0.25">
      <c r="A5" s="10" t="s">
        <v>23</v>
      </c>
      <c r="B5" s="10">
        <f>COUNTIF('08월 사용내역'!C$5:C$23,A5)</f>
        <v>2</v>
      </c>
      <c r="C5" s="9">
        <f>SUMIF('08월 사용내역'!C$5:C$23,A5,'08월 사용내역'!B$5:B$23)</f>
        <v>24700</v>
      </c>
    </row>
    <row r="6" ht="36" customHeight="1" spans="1:3" x14ac:dyDescent="0.25">
      <c r="A6" s="14" t="s">
        <v>14</v>
      </c>
      <c r="B6" s="14">
        <f>COUNTIF('08월 사용내역'!C$5:C$23,A6)</f>
        <v>2</v>
      </c>
      <c r="C6" s="13">
        <f>SUMIF('08월 사용내역'!C$5:C$23,A6,'08월 사용내역'!B$5:B$23)</f>
        <v>29500</v>
      </c>
    </row>
    <row r="7" ht="36" customHeight="1" spans="1:3" x14ac:dyDescent="0.25">
      <c r="A7" s="10" t="s">
        <v>58</v>
      </c>
      <c r="B7" s="10">
        <f>COUNTIF('08월 사용내역'!C$5:C$23,A7)</f>
        <v>1</v>
      </c>
      <c r="C7" s="9">
        <f>SUMIF('08월 사용내역'!C$5:C$23,A7,'08월 사용내역'!B$5:B$23)</f>
        <v>13500</v>
      </c>
    </row>
    <row r="8" ht="36" customHeight="1" spans="1:3" x14ac:dyDescent="0.25">
      <c r="A8" s="14" t="s">
        <v>19</v>
      </c>
      <c r="B8" s="14">
        <f>COUNTIF('08월 사용내역'!C$5:C$23,A8)</f>
        <v>2</v>
      </c>
      <c r="C8" s="13">
        <f>SUMIF('08월 사용내역'!C$5:C$23,A8,'08월 사용내역'!B$5:B$23)</f>
        <v>19300</v>
      </c>
    </row>
    <row r="9" ht="36" customHeight="1" spans="1:3" x14ac:dyDescent="0.25">
      <c r="A9" s="10" t="s">
        <v>28</v>
      </c>
      <c r="B9" s="10">
        <f>COUNTIF('08월 사용내역'!C$5:C$23,A9)</f>
        <v>1</v>
      </c>
      <c r="C9" s="9">
        <f>SUMIF('08월 사용내역'!C$5:C$23,A9,'08월 사용내역'!B$5:B$23)</f>
        <v>15000</v>
      </c>
    </row>
    <row r="10" ht="36" customHeight="1" spans="1:3" x14ac:dyDescent="0.25">
      <c r="A10" s="14" t="s">
        <v>9</v>
      </c>
      <c r="B10" s="14">
        <f>COUNTIF('08월 사용내역'!C$5:C$23,A10)</f>
        <v>1</v>
      </c>
      <c r="C10" s="13">
        <f>SUMIF('08월 사용내역'!C$5:C$23,A10,'08월 사용내역'!B$5:B$23)</f>
        <v>15000</v>
      </c>
    </row>
    <row r="11" ht="36" customHeight="1" spans="1:3" x14ac:dyDescent="0.25">
      <c r="A11" s="10" t="s">
        <v>35</v>
      </c>
      <c r="B11" s="10">
        <f>COUNTIF('08월 사용내역'!C$5:C$23,A11)</f>
        <v>4</v>
      </c>
      <c r="C11" s="9">
        <f>SUMIF('08월 사용내역'!C$5:C$23,A11,'08월 사용내역'!B$5:B$23)</f>
        <v>55640</v>
      </c>
    </row>
    <row r="12" ht="36" customHeight="1" spans="1:3" x14ac:dyDescent="0.25">
      <c r="A12" s="14" t="s">
        <v>40</v>
      </c>
      <c r="B12" s="14">
        <f>COUNTIF('08월 사용내역'!C$5:C$23,A12)</f>
        <v>1</v>
      </c>
      <c r="C12" s="13">
        <f>SUMIF('08월 사용내역'!C$5:C$23,A12,'08월 사용내역'!B$5:B$23)</f>
        <v>14500</v>
      </c>
    </row>
    <row r="13" ht="36" customHeight="1" spans="1:3" x14ac:dyDescent="0.25">
      <c r="A13" s="10" t="s">
        <v>48</v>
      </c>
      <c r="B13" s="10">
        <f>COUNTIF('08월 사용내역'!C$5:C$23,A13)</f>
        <v>1</v>
      </c>
      <c r="C13" s="9">
        <f>SUMIF('08월 사용내역'!C$5:C$23,A13,'08월 사용내역'!B$5:B$23)</f>
        <v>14000</v>
      </c>
    </row>
    <row r="14" ht="36" customHeight="1" spans="1:3" x14ac:dyDescent="0.25">
      <c r="A14" s="14" t="s">
        <v>32</v>
      </c>
      <c r="B14" s="14">
        <f>COUNTIF('08월 사용내역'!C$5:C$23,A14)</f>
        <v>4</v>
      </c>
      <c r="C14" s="13">
        <f>SUMIF('08월 사용내역'!C$5:C$23,A14,'08월 사용내역'!B$5:B$23)</f>
        <v>59100</v>
      </c>
    </row>
    <row r="15" ht="26" customHeight="1" spans="1:3" x14ac:dyDescent="0.25">
      <c r="A15" s="18" t="s">
        <v>60</v>
      </c>
      <c r="B15">
        <f>SUM(B5:B14)</f>
        <v>19</v>
      </c>
      <c r="C15" s="17">
        <f>SUM(C5:C14)</f>
        <v>260240</v>
      </c>
    </row>
  </sheetData>
  <autoFilter ref="A4:C14"/>
  <mergeCells count="2">
    <mergeCell ref="A1:C1"/>
    <mergeCell ref="A2:C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&amp;L2026년 08월 법인카드 영수증&amp;R&amp;P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22" style="2" customWidth="1"/>
  </cols>
  <sheetData>
    <row r="1" ht="32" customHeight="1" spans="1:3" x14ac:dyDescent="0.25">
      <c r="A1" s="3" t="s">
        <v>65</v>
      </c>
      <c r="B1" s="3"/>
      <c r="C1" s="3"/>
    </row>
    <row r="2" ht="32" customHeight="1" spans="1:3" x14ac:dyDescent="0.25">
      <c r="A2" s="4" t="s">
        <v>62</v>
      </c>
      <c r="B2" s="4"/>
      <c r="C2" s="4"/>
    </row>
    <row r="4" ht="25" customHeight="1" spans="1:3" x14ac:dyDescent="0.25">
      <c r="A4" s="7" t="s">
        <v>5</v>
      </c>
      <c r="B4" s="7" t="s">
        <v>63</v>
      </c>
      <c r="C4" s="6" t="s">
        <v>64</v>
      </c>
    </row>
    <row r="5" ht="36" customHeight="1" spans="1:3" x14ac:dyDescent="0.25">
      <c r="A5" s="10" t="s">
        <v>24</v>
      </c>
      <c r="B5" s="10">
        <f>COUNTIF('08월 사용내역'!D$5:D$23,A5)</f>
        <v>2</v>
      </c>
      <c r="C5" s="9">
        <f>SUMIF('08월 사용내역'!D$5:D$23,A5,'08월 사용내역'!B$5:B$23)</f>
        <v>25000</v>
      </c>
    </row>
    <row r="6" ht="36" customHeight="1" spans="1:3" x14ac:dyDescent="0.25">
      <c r="A6" s="14" t="s">
        <v>26</v>
      </c>
      <c r="B6" s="14">
        <f>COUNTIF('08월 사용내역'!D$5:D$23,A6)</f>
        <v>2</v>
      </c>
      <c r="C6" s="13">
        <f>SUMIF('08월 사용내역'!D$5:D$23,A6,'08월 사용내역'!B$5:B$23)</f>
        <v>25300</v>
      </c>
    </row>
    <row r="7" ht="36" customHeight="1" spans="1:3" x14ac:dyDescent="0.25">
      <c r="A7" s="10" t="s">
        <v>45</v>
      </c>
      <c r="B7" s="10">
        <f>COUNTIF('08월 사용내역'!D$5:D$23,A7)</f>
        <v>1</v>
      </c>
      <c r="C7" s="9">
        <f>SUMIF('08월 사용내역'!D$5:D$23,A7,'08월 사용내역'!B$5:B$23)</f>
        <v>14200</v>
      </c>
    </row>
    <row r="8" ht="36" customHeight="1" spans="1:3" x14ac:dyDescent="0.25">
      <c r="A8" s="14" t="s">
        <v>20</v>
      </c>
      <c r="B8" s="14">
        <f>COUNTIF('08월 사용내역'!D$5:D$23,A8)</f>
        <v>1</v>
      </c>
      <c r="C8" s="13">
        <f>SUMIF('08월 사용내역'!D$5:D$23,A8,'08월 사용내역'!B$5:B$23)</f>
        <v>8800</v>
      </c>
    </row>
    <row r="9" ht="36" customHeight="1" spans="1:3" x14ac:dyDescent="0.25">
      <c r="A9" s="10" t="s">
        <v>43</v>
      </c>
      <c r="B9" s="10">
        <f>COUNTIF('08월 사용내역'!D$5:D$23,A9)</f>
        <v>1</v>
      </c>
      <c r="C9" s="9">
        <f>SUMIF('08월 사용내역'!D$5:D$23,A9,'08월 사용내역'!B$5:B$23)</f>
        <v>12340</v>
      </c>
    </row>
    <row r="10" ht="36" customHeight="1" spans="1:3" x14ac:dyDescent="0.25">
      <c r="A10" s="14" t="s">
        <v>54</v>
      </c>
      <c r="B10" s="14">
        <f>COUNTIF('08월 사용내역'!D$5:D$23,A10)</f>
        <v>2</v>
      </c>
      <c r="C10" s="13">
        <f>SUMIF('08월 사용내역'!D$5:D$23,A10,'08월 사용내역'!B$5:B$23)</f>
        <v>29000</v>
      </c>
    </row>
    <row r="11" ht="36" customHeight="1" spans="1:3" x14ac:dyDescent="0.25">
      <c r="A11" s="10" t="s">
        <v>36</v>
      </c>
      <c r="B11" s="10">
        <f>COUNTIF('08월 사용내역'!D$5:D$23,A11)</f>
        <v>1</v>
      </c>
      <c r="C11" s="9">
        <f>SUMIF('08월 사용내역'!D$5:D$23,A11,'08월 사용내역'!B$5:B$23)</f>
        <v>14000</v>
      </c>
    </row>
    <row r="12" ht="36" customHeight="1" spans="1:3" x14ac:dyDescent="0.25">
      <c r="A12" s="14" t="s">
        <v>15</v>
      </c>
      <c r="B12" s="14">
        <f>COUNTIF('08월 사용내역'!D$5:D$23,A12)</f>
        <v>2</v>
      </c>
      <c r="C12" s="13">
        <f>SUMIF('08월 사용내역'!D$5:D$23,A12,'08월 사용내역'!B$5:B$23)</f>
        <v>28500</v>
      </c>
    </row>
    <row r="13" ht="36" customHeight="1" spans="1:3" x14ac:dyDescent="0.25">
      <c r="A13" s="10" t="s">
        <v>10</v>
      </c>
      <c r="B13" s="10">
        <f>COUNTIF('08월 사용내역'!D$5:D$23,A13)</f>
        <v>1</v>
      </c>
      <c r="C13" s="9">
        <f>SUMIF('08월 사용내역'!D$5:D$23,A13,'08월 사용내역'!B$5:B$23)</f>
        <v>15000</v>
      </c>
    </row>
    <row r="14" ht="36" customHeight="1" spans="1:3" x14ac:dyDescent="0.25">
      <c r="A14" s="14" t="s">
        <v>49</v>
      </c>
      <c r="B14" s="14">
        <f>COUNTIF('08월 사용내역'!D$5:D$23,A14)</f>
        <v>1</v>
      </c>
      <c r="C14" s="13">
        <f>SUMIF('08월 사용내역'!D$5:D$23,A14,'08월 사용내역'!B$5:B$23)</f>
        <v>14000</v>
      </c>
    </row>
    <row r="15" ht="36" customHeight="1" spans="1:3" x14ac:dyDescent="0.25">
      <c r="A15" s="10" t="s">
        <v>29</v>
      </c>
      <c r="B15" s="10">
        <f>COUNTIF('08월 사용내역'!D$5:D$23,A15)</f>
        <v>5</v>
      </c>
      <c r="C15" s="9">
        <f>SUMIF('08월 사용내역'!D$5:D$23,A15,'08월 사용내역'!B$5:B$23)</f>
        <v>74100</v>
      </c>
    </row>
    <row r="16" ht="26" customHeight="1" spans="1:3" x14ac:dyDescent="0.25">
      <c r="A16" s="18" t="s">
        <v>60</v>
      </c>
      <c r="B16">
        <f>SUM(B5:B15)</f>
        <v>19</v>
      </c>
      <c r="C16" s="17">
        <f>SUM(C5:C15)</f>
        <v>260240</v>
      </c>
    </row>
  </sheetData>
  <autoFilter ref="A4:C15"/>
  <mergeCells count="2">
    <mergeCell ref="A1:C1"/>
    <mergeCell ref="A2:C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&amp;L2026년 08월 법인카드 영수증&amp;R&amp;P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16" customWidth="1"/>
    <col min="3" max="3" width="22" style="2" customWidth="1"/>
  </cols>
  <sheetData>
    <row r="1" ht="32" customHeight="1" spans="1:3" x14ac:dyDescent="0.25">
      <c r="A1" s="3" t="s">
        <v>66</v>
      </c>
      <c r="B1" s="3"/>
      <c r="C1" s="3"/>
    </row>
    <row r="2" ht="32" customHeight="1" spans="1:3" x14ac:dyDescent="0.25">
      <c r="A2" s="4" t="s">
        <v>62</v>
      </c>
      <c r="B2" s="4"/>
      <c r="C2" s="4"/>
    </row>
    <row r="4" ht="25" customHeight="1" spans="1:3" x14ac:dyDescent="0.25">
      <c r="A4" s="5" t="s">
        <v>2</v>
      </c>
      <c r="B4" s="7" t="s">
        <v>63</v>
      </c>
      <c r="C4" s="6" t="s">
        <v>64</v>
      </c>
    </row>
    <row r="5" ht="36" customHeight="1" spans="1:3" x14ac:dyDescent="0.25">
      <c r="A5" s="8">
        <v>46235</v>
      </c>
      <c r="B5" s="10">
        <f>COUNTIF('08월 사용내역'!A$5:A$23,A5)</f>
        <v>2</v>
      </c>
      <c r="C5" s="9">
        <f>SUMIF('08월 사용내역'!A$5:A$23,A5,'08월 사용내역'!B$5:B$23)</f>
        <v>30000</v>
      </c>
    </row>
    <row r="6" ht="36" customHeight="1" spans="1:3" x14ac:dyDescent="0.25">
      <c r="A6" s="12">
        <v>46236</v>
      </c>
      <c r="B6" s="14">
        <f>COUNTIF('08월 사용내역'!A$5:A$23,A6)</f>
        <v>2</v>
      </c>
      <c r="C6" s="13">
        <f>SUMIF('08월 사용내역'!A$5:A$23,A6,'08월 사용내역'!B$5:B$23)</f>
        <v>19300</v>
      </c>
    </row>
    <row r="7" ht="36" customHeight="1" spans="1:3" x14ac:dyDescent="0.25">
      <c r="A7" s="8">
        <v>46242</v>
      </c>
      <c r="B7" s="10">
        <f>COUNTIF('08월 사용내역'!A$5:A$23,A7)</f>
        <v>2</v>
      </c>
      <c r="C7" s="9">
        <f>SUMIF('08월 사용내역'!A$5:A$23,A7,'08월 사용내역'!B$5:B$23)</f>
        <v>25500</v>
      </c>
    </row>
    <row r="8" ht="36" customHeight="1" spans="1:3" x14ac:dyDescent="0.25">
      <c r="A8" s="12">
        <v>46243</v>
      </c>
      <c r="B8" s="14">
        <f>COUNTIF('08월 사용내역'!A$5:A$23,A8)</f>
        <v>2</v>
      </c>
      <c r="C8" s="13">
        <f>SUMIF('08월 사용내역'!A$5:A$23,A8,'08월 사용내역'!B$5:B$23)</f>
        <v>28600</v>
      </c>
    </row>
    <row r="9" ht="36" customHeight="1" spans="1:3" x14ac:dyDescent="0.25">
      <c r="A9" s="8">
        <v>46249</v>
      </c>
      <c r="B9" s="10">
        <f>COUNTIF('08월 사용내역'!A$5:A$23,A9)</f>
        <v>2</v>
      </c>
      <c r="C9" s="9">
        <f>SUMIF('08월 사용내역'!A$5:A$23,A9,'08월 사용내역'!B$5:B$23)</f>
        <v>29400</v>
      </c>
    </row>
    <row r="10" ht="36" customHeight="1" spans="1:3" x14ac:dyDescent="0.25">
      <c r="A10" s="12">
        <v>46251</v>
      </c>
      <c r="B10" s="14">
        <f>COUNTIF('08월 사용내역'!A$5:A$23,A10)</f>
        <v>2</v>
      </c>
      <c r="C10" s="13">
        <f>SUMIF('08월 사용내역'!A$5:A$23,A10,'08월 사용내역'!B$5:B$23)</f>
        <v>27240</v>
      </c>
    </row>
    <row r="11" ht="36" customHeight="1" spans="1:3" x14ac:dyDescent="0.25">
      <c r="A11" s="8">
        <v>46256</v>
      </c>
      <c r="B11" s="10">
        <f>COUNTIF('08월 사용내역'!A$5:A$23,A11)</f>
        <v>2</v>
      </c>
      <c r="C11" s="9">
        <f>SUMIF('08월 사용내역'!A$5:A$23,A11,'08월 사용내역'!B$5:B$23)</f>
        <v>28200</v>
      </c>
    </row>
    <row r="12" ht="36" customHeight="1" spans="1:3" x14ac:dyDescent="0.25">
      <c r="A12" s="12">
        <v>46257</v>
      </c>
      <c r="B12" s="14">
        <f>COUNTIF('08월 사용내역'!A$5:A$23,A12)</f>
        <v>2</v>
      </c>
      <c r="C12" s="13">
        <f>SUMIF('08월 사용내역'!A$5:A$23,A12,'08월 사용내역'!B$5:B$23)</f>
        <v>29300</v>
      </c>
    </row>
    <row r="13" ht="36" customHeight="1" spans="1:3" x14ac:dyDescent="0.25">
      <c r="A13" s="8">
        <v>46263</v>
      </c>
      <c r="B13" s="10">
        <f>COUNTIF('08월 사용내역'!A$5:A$23,A13)</f>
        <v>2</v>
      </c>
      <c r="C13" s="9">
        <f>SUMIF('08월 사용내역'!A$5:A$23,A13,'08월 사용내역'!B$5:B$23)</f>
        <v>29200</v>
      </c>
    </row>
    <row r="14" ht="36" customHeight="1" spans="1:3" x14ac:dyDescent="0.25">
      <c r="A14" s="12">
        <v>46264</v>
      </c>
      <c r="B14" s="14">
        <f>COUNTIF('08월 사용내역'!A$5:A$23,A14)</f>
        <v>1</v>
      </c>
      <c r="C14" s="13">
        <f>SUMIF('08월 사용내역'!A$5:A$23,A14,'08월 사용내역'!B$5:B$23)</f>
        <v>13500</v>
      </c>
    </row>
    <row r="15" ht="26" customHeight="1" spans="1:3" x14ac:dyDescent="0.25">
      <c r="A15" s="16" t="s">
        <v>60</v>
      </c>
      <c r="B15">
        <f>SUM(B5:B14)</f>
        <v>19</v>
      </c>
      <c r="C15" s="17">
        <f>SUM(C5:C14)</f>
        <v>260240</v>
      </c>
    </row>
  </sheetData>
  <autoFilter ref="A4:C14"/>
  <mergeCells count="2">
    <mergeCell ref="A1:C1"/>
    <mergeCell ref="A2:C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&amp;L2026년 08월 법인카드 영수증&amp;R&amp;P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08월 사용내역</vt:lpstr>
      <vt:lpstr>사용자별 합계</vt:lpstr>
      <vt:lpstr>거래처별 합계</vt:lpstr>
      <vt:lpstr>날짜별 합계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CS팀</dc:creator>
  <dc:title/>
  <dc:subject/>
  <dc:description/>
  <cp:keywords/>
  <cp:category/>
  <cp:lastModifiedBy>Unknown</cp:lastModifiedBy>
  <dcterms:created xsi:type="dcterms:W3CDTF">2026-09-07T08:27:45Z</dcterms:created>
  <dcterms:modified xsi:type="dcterms:W3CDTF">2026-09-07T08:27:45Z</dcterms:modified>
</cp:coreProperties>
</file>